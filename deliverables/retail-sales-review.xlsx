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664792c15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review" sheetId="1" r:id="Rf055940a435b43a6"/>
    <x:sheet xmlns:r="http://schemas.openxmlformats.org/officeDocument/2006/relationships" name="Country detail" sheetId="2" r:id="Rd09902ecd26b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£&quot;#,##0.00;[Red](&quot;£&quot;#,##0.00)"/>
    <x:numFmt numFmtId="201" formatCode="#,##0"/>
    <x:numFmt numFmtId="202" formatCode="0.0%"/>
  </x:numFmts>
  <x:fonts count="9">
    <x:font>
      <x:sz val="11"/>
      <x:name val="Carlito"/>
    </x:font>
    <x:font>
      <x:sz val="10"/>
      <x:color rgb="FF18283F"/>
      <x:name val="Arial"/>
    </x:font>
    <x:font>
      <x:b/>
      <x:sz val="16"/>
      <x:color rgb="FF18283F"/>
      <x:name val="Arial"/>
    </x:font>
    <x:font>
      <x:sz val="10"/>
      <x:color rgb="FF65758A"/>
      <x:name val="Arial"/>
    </x:font>
    <x:font>
      <x:b/>
      <x:sz val="10"/>
      <x:color rgb="FF18283F"/>
      <x:name val="Arial"/>
    </x:font>
    <x:font>
      <x:b/>
      <x:sz val="12"/>
      <x:color rgb="FF18283F"/>
      <x:name val="Arial"/>
    </x:font>
    <x:font>
      <x:b/>
      <x:sz val="10"/>
      <x:color rgb="FFFFFFFF"/>
      <x:name val="Arial"/>
    </x:font>
    <x:font>
      <x:sz val="10"/>
      <x:color rgb="FF3067B0"/>
      <x:name val="Arial"/>
    </x:font>
    <x:font>
      <x:sz val="9"/>
      <x:color rgb="FF6575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283F"/>
      </x:patternFill>
    </x:fill>
    <x:fill>
      <x:patternFill patternType="solid">
        <x:fgColor rgb="FFFFF2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1" fillId="3" borderId="0" xfId="0" applyNumberFormat="1" applyFont="1" applyFill="1" applyBorder="1"/>
    <x:xf numFmtId="200" fontId="7" fillId="3" borderId="0" xfId="0" applyNumberFormat="1" applyFont="1" applyFill="1" applyBorder="1"/>
    <x:xf numFmtId="200" fontId="1" fillId="3" borderId="0" xfId="0" applyNumberFormat="1" applyFont="1" applyFill="1" applyBorder="1"/>
    <x:xf numFmtId="201" fontId="7" fillId="3" borderId="0" xfId="0" applyNumberFormat="1" applyFont="1" applyFill="1" applyBorder="1"/>
    <x:xf numFmtId="0" fontId="8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abfd20e114125" /><Relationship Type="http://schemas.openxmlformats.org/officeDocument/2006/relationships/theme" Target="/xl/theme/theme1.xml" Id="Rfc6e53266c4c419e" /><Relationship Type="http://schemas.openxmlformats.org/officeDocument/2006/relationships/sharedStrings" Target="/xl/sharedStrings.xml" Id="R944609c7a9354e8a" /><Relationship Type="http://schemas.openxmlformats.org/officeDocument/2006/relationships/worksheet" Target="/xl/worksheets/sheet1.xml" Id="Rf055940a435b43a6" /><Relationship Type="http://schemas.openxmlformats.org/officeDocument/2006/relationships/worksheet" Target="/xl/worksheets/sheet2.xml" Id="Rd09902ecd26b41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3938d315db47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net value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GBP</c:v>
          </c:tx>
          <c:spPr>
            <a:ln xmlns:a="http://schemas.openxmlformats.org/drawingml/2006/main" w="19050">
              <a:solidFill>
                <a:srgbClr val="3067B0"/>
              </a:solidFill>
              <a:prstDash val="solid"/>
            </a:ln>
          </c:spPr>
          <c:marker>
            <c:symbol val="none"/>
          </c:marker>
          <c:cat>
            <c:strRef>
              <c:f>'Sales review'!$A$22:$A$34</c:f>
              <c:strCache>
                <c:ptCount val="0"/>
              </c:strCache>
            </c:strRef>
          </c:cat>
          <c:val>
            <c:numRef>
              <c:f>'Sales review'!$D$22:$D$34</c:f>
              <c:numCache>
                <c:formatCode>"£"#,##0.00;[Red]("£"#,##0.00)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9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3938d315db47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Review" displayName="MonthlyReview" ref="A21:H34" headerRowCount="1" totalsRowCount="0" totalsRowShown="0">
  <x:tableColumns count="8">
    <x:tableColumn id="1" name="Month"/>
    <x:tableColumn id="2" name="Gross GBP"/>
    <x:tableColumn id="3" name="Cancellation GBP"/>
    <x:tableColumn id="4" name="Net GBP"/>
    <x:tableColumn id="5" name="Sale invoices"/>
    <x:tableColumn id="6" name="Avg invoice GBP"/>
    <x:tableColumn id="7" name="Net no repeats GBP"/>
    <x:tableColumn id="8" name="Repeat impact GB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ryReview" displayName="CountryReview" ref="A5:F43" headerRowCount="1" totalsRowCount="0" totalsRowShown="0">
  <x:tableColumns count="6">
    <x:tableColumn id="1" name="Country"/>
    <x:tableColumn id="2" name="Gross GBP"/>
    <x:tableColumn id="3" name="Cancellation GBP"/>
    <x:tableColumn id="4" name="Net GBP"/>
    <x:tableColumn id="5" name="Sale invoices"/>
    <x:tableColumn id="6" name="Net value sh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Portfolio">
  <a:themeElements>
    <a:clrScheme name="Portfoli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ortfoli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f8aeb7ff1c417e" /><Relationship Type="http://schemas.openxmlformats.org/officeDocument/2006/relationships/table" Target="/xl/tables/table1.xml" Id="R336bccc01cbb49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7efa31f8c14497" /></Relationships>
</file>

<file path=xl/worksheets/sheet1.xml><?xml version="1.0" encoding="utf-8"?>
<x:worksheet xmlns:x="http://schemas.openxmlformats.org/spreadsheetml/2006/main">
  <x:sheetPr>
    <x:tabColor rgb="FF18283F"/>
  </x:sheetPr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2" t="str">
        <x:v>Retail sales &amp; data quality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Dec 2010–Dec 9, 2011 | GBP | Personal portfolio project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7" t="str">
        <x:v>Metric</x:v>
      </x:c>
      <x:c r="B5" s="7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 t="str">
        <x:v>Gross positive sales</x:v>
      </x:c>
      <x:c r="B6" s="10" t="n">
        <x:f>SUM(B22:B34)</x:f>
        <x:v>10666684.54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 t="str">
        <x:v>Cancellation value</x:v>
      </x:c>
      <x:c r="B7" s="10" t="n">
        <x:f>SUM(C22:C34)</x:f>
        <x:v>896812.49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 t="str">
        <x:v>Net transaction value</x:v>
      </x:c>
      <x:c r="B8" s="10" t="n">
        <x:f>SUM(D22:D34)</x:f>
        <x:v>9769872.05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2" customHeight="1">
      <x:c r="A9" s="1" t="str">
        <x:v>Sale invoices</x:v>
      </x:c>
      <x:c r="B9" s="11" t="n">
        <x:f>SUM(E22:E34)</x:f>
        <x:v>19960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2" customHeight="1">
      <x:c r="A10" s="1" t="str">
        <x:v>Average sale invoice</x:v>
      </x:c>
      <x:c r="B10" s="10" t="n">
        <x:f>IF(B9=0,"n.a.",B6/B9)</x:f>
        <x:v>534.4030330661323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4" t="str">
        <x:v>Reporting rules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 t="str">
        <x:v>Exact repeated rows retained; sensitivity below.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 t="str">
        <x:v>Missing customer IDs retained in sales totals.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 t="str">
        <x:v>Special charge codes remain in transaction values.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 t="str">
        <x:v>Net value is not profit or cash collected.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5" t="str">
        <x:v>Monthly inputs and calculations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 t="str">
        <x:v>Blue values: SQL imports. Dark values: formulas. December 2011 is partial through Dec 9.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36" customHeight="1">
      <x:c r="A21" s="9" t="str">
        <x:v>Month</x:v>
      </x:c>
      <x:c r="B21" s="9" t="str">
        <x:v>Gross GBP</x:v>
      </x:c>
      <x:c r="C21" s="9" t="str">
        <x:v>Cancellation GBP</x:v>
      </x:c>
      <x:c r="D21" s="9" t="str">
        <x:v>Net GBP</x:v>
      </x:c>
      <x:c r="E21" s="9" t="str">
        <x:v>Sale invoices</x:v>
      </x:c>
      <x:c r="F21" s="9" t="str">
        <x:v>Avg invoice GBP</x:v>
      </x:c>
      <x:c r="G21" s="9" t="str">
        <x:v>Net no repeats GBP</x:v>
      </x:c>
      <x:c r="H21" s="9" t="str">
        <x:v>Repeat impact GBP</x:v>
      </x:c>
      <x:c r="I21" s="1"/>
      <x:c r="J21" s="1"/>
      <x:c r="K21" s="1"/>
      <x:c r="L21" s="1"/>
    </x:row>
    <x:row r="22" ht="22" customHeight="1">
      <x:c r="A22" s="1" t="str">
        <x:v>2010-12</x:v>
      </x:c>
      <x:c r="B22" s="12" t="n">
        <x:v>823746.14</x:v>
      </x:c>
      <x:c r="C22" s="12" t="n">
        <x:v>74789.12</x:v>
      </x:c>
      <x:c r="D22" s="10" t="n">
        <x:f>B22-C22</x:f>
        <x:v>748957.02</x:v>
      </x:c>
      <x:c r="E22" s="13" t="n">
        <x:v>1559</x:v>
      </x:c>
      <x:c r="F22" s="10" t="n">
        <x:f>IF(E22=0,"n.a.",B22/E22)</x:f>
        <x:v>528.3811032713278</x:v>
      </x:c>
      <x:c r="G22" s="12" t="n">
        <x:v>746723.61</x:v>
      </x:c>
      <x:c r="H22" s="10" t="n">
        <x:f>D22-G22</x:f>
        <x:v>2233.4100000000326</x:v>
      </x:c>
      <x:c r="I22" s="1"/>
      <x:c r="J22" s="1"/>
      <x:c r="K22" s="1"/>
      <x:c r="L22" s="1"/>
    </x:row>
    <x:row r="23" ht="22" customHeight="1">
      <x:c r="A23" s="1" t="str">
        <x:v>2011-01</x:v>
      </x:c>
      <x:c r="B23" s="12" t="n">
        <x:v>691364.56</x:v>
      </x:c>
      <x:c r="C23" s="12" t="n">
        <x:v>131364.3</x:v>
      </x:c>
      <x:c r="D23" s="10" t="n">
        <x:f>B23-C23</x:f>
        <x:v>560000.26</x:v>
      </x:c>
      <x:c r="E23" s="13" t="n">
        <x:v>1086</x:v>
      </x:c>
      <x:c r="F23" s="10" t="n">
        <x:f>IF(E23=0,"n.a.",B23/E23)</x:f>
        <x:v>636.6156169429098</x:v>
      </x:c>
      <x:c r="G23" s="12" t="n">
        <x:v>558448.56</x:v>
      </x:c>
      <x:c r="H23" s="10" t="n">
        <x:f>D23-G23</x:f>
        <x:v>1551.6999999999534</x:v>
      </x:c>
      <x:c r="I23" s="1"/>
      <x:c r="J23" s="1"/>
      <x:c r="K23" s="1"/>
      <x:c r="L23" s="1"/>
    </x:row>
    <x:row r="24" ht="22" customHeight="1">
      <x:c r="A24" s="1" t="str">
        <x:v>2011-02</x:v>
      </x:c>
      <x:c r="B24" s="12" t="n">
        <x:v>523631.89</x:v>
      </x:c>
      <x:c r="C24" s="12" t="n">
        <x:v>25569.24</x:v>
      </x:c>
      <x:c r="D24" s="10" t="n">
        <x:f>B24-C24</x:f>
        <x:v>498062.65</x:v>
      </x:c>
      <x:c r="E24" s="13" t="n">
        <x:v>1100</x:v>
      </x:c>
      <x:c r="F24" s="10" t="n">
        <x:f>IF(E24=0,"n.a.",B24/E24)</x:f>
        <x:v>476.0289909090909</x:v>
      </x:c>
      <x:c r="G24" s="12" t="n">
        <x:v>497026.41</x:v>
      </x:c>
      <x:c r="H24" s="10" t="n">
        <x:f>D24-G24</x:f>
        <x:v>1036.240000000049</x:v>
      </x:c>
      <x:c r="I24" s="1"/>
      <x:c r="J24" s="1"/>
      <x:c r="K24" s="1"/>
      <x:c r="L24" s="1"/>
    </x:row>
    <x:row r="25" ht="22" customHeight="1">
      <x:c r="A25" s="1" t="str">
        <x:v>2011-03</x:v>
      </x:c>
      <x:c r="B25" s="12" t="n">
        <x:v>717639.36</x:v>
      </x:c>
      <x:c r="C25" s="12" t="n">
        <x:v>34372.28</x:v>
      </x:c>
      <x:c r="D25" s="10" t="n">
        <x:f>B25-C25</x:f>
        <x:v>683267.08</x:v>
      </x:c>
      <x:c r="E25" s="13" t="n">
        <x:v>1454</x:v>
      </x:c>
      <x:c r="F25" s="10" t="n">
        <x:f>IF(E25=0,"n.a.",B25/E25)</x:f>
        <x:v>493.56214580467673</x:v>
      </x:c>
      <x:c r="G25" s="12" t="n">
        <x:v>682013.98</x:v>
      </x:c>
      <x:c r="H25" s="10" t="n">
        <x:f>D25-G25</x:f>
        <x:v>1253.0999999999767</x:v>
      </x:c>
      <x:c r="I25" s="1"/>
      <x:c r="J25" s="1"/>
      <x:c r="K25" s="1"/>
      <x:c r="L25" s="1"/>
    </x:row>
    <x:row r="26" ht="22" customHeight="1">
      <x:c r="A26" s="1" t="str">
        <x:v>2011-04</x:v>
      </x:c>
      <x:c r="B26" s="12" t="n">
        <x:v>537808.62</x:v>
      </x:c>
      <x:c r="C26" s="12" t="n">
        <x:v>44601.5</x:v>
      </x:c>
      <x:c r="D26" s="10" t="n">
        <x:f>B26-C26</x:f>
        <x:v>493207.12</x:v>
      </x:c>
      <x:c r="E26" s="13" t="n">
        <x:v>1246</x:v>
      </x:c>
      <x:c r="F26" s="10" t="n">
        <x:f>IF(E26=0,"n.a.",B26/E26)</x:f>
        <x:v>431.6281059390048</x:v>
      </x:c>
      <x:c r="G26" s="12" t="n">
        <x:v>492367.84</x:v>
      </x:c>
      <x:c r="H26" s="10" t="n">
        <x:f>D26-G26</x:f>
        <x:v>839.2799999999697</x:v>
      </x:c>
      <x:c r="I26" s="1"/>
      <x:c r="J26" s="1"/>
      <x:c r="K26" s="1"/>
      <x:c r="L26" s="1"/>
    </x:row>
    <x:row r="27" ht="22" customHeight="1">
      <x:c r="A27" s="1" t="str">
        <x:v>2011-05</x:v>
      </x:c>
      <x:c r="B27" s="12" t="n">
        <x:v>770536.02</x:v>
      </x:c>
      <x:c r="C27" s="12" t="n">
        <x:v>47202.51</x:v>
      </x:c>
      <x:c r="D27" s="10" t="n">
        <x:f>B27-C27</x:f>
        <x:v>723333.51</x:v>
      </x:c>
      <x:c r="E27" s="13" t="n">
        <x:v>1681</x:v>
      </x:c>
      <x:c r="F27" s="10" t="n">
        <x:f>IF(E27=0,"n.a.",B27/E27)</x:f>
        <x:v>458.3795478881618</x:v>
      </x:c>
      <x:c r="G27" s="12" t="n">
        <x:v>722094.1</x:v>
      </x:c>
      <x:c r="H27" s="10" t="n">
        <x:f>D27-G27</x:f>
        <x:v>1239.4100000000326</x:v>
      </x:c>
      <x:c r="I27" s="1"/>
      <x:c r="J27" s="1"/>
      <x:c r="K27" s="1"/>
      <x:c r="L27" s="1"/>
    </x:row>
    <x:row r="28" ht="22" customHeight="1">
      <x:c r="A28" s="1" t="str">
        <x:v>2011-06</x:v>
      </x:c>
      <x:c r="B28" s="12" t="n">
        <x:v>761739.9</x:v>
      </x:c>
      <x:c r="C28" s="12" t="n">
        <x:v>70616.78</x:v>
      </x:c>
      <x:c r="D28" s="10" t="n">
        <x:f>B28-C28</x:f>
        <x:v>691123.12</x:v>
      </x:c>
      <x:c r="E28" s="13" t="n">
        <x:v>1533</x:v>
      </x:c>
      <x:c r="F28" s="10" t="n">
        <x:f>IF(E28=0,"n.a.",B28/E28)</x:f>
        <x:v>496.8949119373777</x:v>
      </x:c>
      <x:c r="G28" s="12" t="n">
        <x:v>689977.23</x:v>
      </x:c>
      <x:c r="H28" s="10" t="n">
        <x:f>D28-G28</x:f>
        <x:v>1145.890000000014</x:v>
      </x:c>
      <x:c r="I28" s="1"/>
      <x:c r="J28" s="1"/>
      <x:c r="K28" s="1"/>
      <x:c r="L28" s="1"/>
    </x:row>
    <x:row r="29" ht="22" customHeight="1">
      <x:c r="A29" s="1" t="str">
        <x:v>2011-07</x:v>
      </x:c>
      <x:c r="B29" s="12" t="n">
        <x:v>719221.19</x:v>
      </x:c>
      <x:c r="C29" s="12" t="n">
        <x:v>37921.08</x:v>
      </x:c>
      <x:c r="D29" s="10" t="n">
        <x:f>B29-C29</x:f>
        <x:v>681300.11</x:v>
      </x:c>
      <x:c r="E29" s="13" t="n">
        <x:v>1475</x:v>
      </x:c>
      <x:c r="F29" s="10" t="n">
        <x:f>IF(E29=0,"n.a.",B29/E29)</x:f>
        <x:v>487.60758644067795</x:v>
      </x:c>
      <x:c r="G29" s="12" t="n">
        <x:v>680156.99</x:v>
      </x:c>
      <x:c r="H29" s="10" t="n">
        <x:f>D29-G29</x:f>
        <x:v>1143.1199999999953</x:v>
      </x:c>
      <x:c r="I29" s="1"/>
      <x:c r="J29" s="1"/>
      <x:c r="K29" s="1"/>
      <x:c r="L29" s="1"/>
    </x:row>
    <x:row r="30" ht="22" customHeight="1">
      <x:c r="A30" s="1" t="str">
        <x:v>2011-08</x:v>
      </x:c>
      <x:c r="B30" s="12" t="n">
        <x:v>759138.38</x:v>
      </x:c>
      <x:c r="C30" s="12" t="n">
        <x:v>54333.75</x:v>
      </x:c>
      <x:c r="D30" s="10" t="n">
        <x:f>B30-C30</x:f>
        <x:v>704804.63</x:v>
      </x:c>
      <x:c r="E30" s="13" t="n">
        <x:v>1361</x:v>
      </x:c>
      <x:c r="F30" s="10" t="n">
        <x:f>IF(E30=0,"n.a.",B30/E30)</x:f>
        <x:v>557.7798530492286</x:v>
      </x:c>
      <x:c r="G30" s="12" t="n">
        <x:v>703510.58</x:v>
      </x:c>
      <x:c r="H30" s="10" t="n">
        <x:f>D30-G30</x:f>
        <x:v>1294.0500000000466</x:v>
      </x:c>
      <x:c r="I30" s="1"/>
      <x:c r="J30" s="1"/>
      <x:c r="K30" s="1"/>
      <x:c r="L30" s="1"/>
    </x:row>
    <x:row r="31" ht="22" customHeight="1">
      <x:c r="A31" s="1" t="str">
        <x:v>2011-09</x:v>
      </x:c>
      <x:c r="B31" s="12" t="n">
        <x:v>1058590.17</x:v>
      </x:c>
      <x:c r="C31" s="12" t="n">
        <x:v>38902.55</x:v>
      </x:c>
      <x:c r="D31" s="10" t="n">
        <x:f>B31-C31</x:f>
        <x:v>1019687.6199999999</x:v>
      </x:c>
      <x:c r="E31" s="13" t="n">
        <x:v>1837</x:v>
      </x:c>
      <x:c r="F31" s="10" t="n">
        <x:f>IF(E31=0,"n.a.",B31/E31)</x:f>
        <x:v>576.2602994011976</x:v>
      </x:c>
      <x:c r="G31" s="12" t="n">
        <x:v>1017596.68</x:v>
      </x:c>
      <x:c r="H31" s="10" t="n">
        <x:f>D31-G31</x:f>
        <x:v>2090.9399999998277</x:v>
      </x:c>
      <x:c r="I31" s="1"/>
      <x:c r="J31" s="1"/>
      <x:c r="K31" s="1"/>
      <x:c r="L31" s="1"/>
    </x:row>
    <x:row r="32" ht="22" customHeight="1">
      <x:c r="A32" s="1" t="str">
        <x:v>2011-10</x:v>
      </x:c>
      <x:c r="B32" s="12" t="n">
        <x:v>1154979.3</x:v>
      </x:c>
      <x:c r="C32" s="12" t="n">
        <x:v>84274.63</x:v>
      </x:c>
      <x:c r="D32" s="10" t="n">
        <x:f>B32-C32</x:f>
        <x:v>1070704.67</x:v>
      </x:c>
      <x:c r="E32" s="13" t="n">
        <x:v>2040</x:v>
      </x:c>
      <x:c r="F32" s="10" t="n">
        <x:f>IF(E32=0,"n.a.",B32/E32)</x:f>
        <x:v>566.1663235294118</x:v>
      </x:c>
      <x:c r="G32" s="12" t="n">
        <x:v>1069368.23</x:v>
      </x:c>
      <x:c r="H32" s="10" t="n">
        <x:f>D32-G32</x:f>
        <x:v>1336.4399999999441</x:v>
      </x:c>
      <x:c r="I32" s="1"/>
      <x:c r="J32" s="1"/>
      <x:c r="K32" s="1"/>
      <x:c r="L32" s="1"/>
    </x:row>
    <x:row r="33" ht="22" customHeight="1">
      <x:c r="A33" s="1" t="str">
        <x:v>2011-11</x:v>
      </x:c>
      <x:c r="B33" s="12" t="n">
        <x:v>1509496.33</x:v>
      </x:c>
      <x:c r="C33" s="12" t="n">
        <x:v>47740.08</x:v>
      </x:c>
      <x:c r="D33" s="10" t="n">
        <x:f>B33-C33</x:f>
        <x:v>1461756.25</x:v>
      </x:c>
      <x:c r="E33" s="13" t="n">
        <x:v>2769</x:v>
      </x:c>
      <x:c r="F33" s="10" t="n">
        <x:f>IF(E33=0,"n.a.",B33/E33)</x:f>
        <x:v>545.1413253882268</x:v>
      </x:c>
      <x:c r="G33" s="12" t="n">
        <x:v>1456145.8</x:v>
      </x:c>
      <x:c r="H33" s="10" t="n">
        <x:f>D33-G33</x:f>
        <x:v>5610.449999999953</x:v>
      </x:c>
      <x:c r="I33" s="1"/>
      <x:c r="J33" s="1"/>
      <x:c r="K33" s="1"/>
      <x:c r="L33" s="1"/>
    </x:row>
    <x:row r="34" ht="22" customHeight="1">
      <x:c r="A34" s="14" t="str">
        <x:v>2011-12 partial</x:v>
      </x:c>
      <x:c r="B34" s="15" t="n">
        <x:v>638792.68</x:v>
      </x:c>
      <x:c r="C34" s="15" t="n">
        <x:v>205124.67</x:v>
      </x:c>
      <x:c r="D34" s="16" t="n">
        <x:f>B34-C34</x:f>
        <x:v>433668.01</x:v>
      </x:c>
      <x:c r="E34" s="17" t="n">
        <x:v>819</x:v>
      </x:c>
      <x:c r="F34" s="16" t="n">
        <x:f>IF(E34=0,"n.a.",B34/E34)</x:f>
        <x:v>779.9666422466423</x:v>
      </x:c>
      <x:c r="G34" s="15" t="n">
        <x:v>432701.06</x:v>
      </x:c>
      <x:c r="H34" s="16" t="n">
        <x:f>D34-G34</x:f>
        <x:v>966.9500000000116</x:v>
      </x:c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 t="str">
        <x:v>Partial month: December 2011 cannot be compared with full months.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8" t="str">
        <x:v>Source: Kaggle carrie1/ecommerce-data; Chen (2015), UCI Online Retail, DOI 10.24432/C5BW33.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8" t="str">
        <x:v>Underlying data: UCI CC BY 4.0. Mirror license label: Unknown. Method and provenance: accompanying documentation.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pageMargins left="0.7" right="0.7" top="0.75" bottom="0.75" header="0.3" footer="0.3"/>
  <x:drawing xmlns:r="http://schemas.openxmlformats.org/officeDocument/2006/relationships" r:id="R62f8aeb7ff1c417e"/>
  <x:tableParts count="1">
    <x:tablePart xmlns:r="http://schemas.openxmlformats.org/officeDocument/2006/relationships" r:id="R336bccc01cbb49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2" t="str">
        <x:v>Country detail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 t="str">
        <x:v>Source labels retained. Import columns B, C and E in pounds, never pence. Net and share are formulas.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9" t="str">
        <x:v>Country</x:v>
      </x:c>
      <x:c r="B5" s="9" t="str">
        <x:v>Gross GBP</x:v>
      </x:c>
      <x:c r="C5" s="9" t="str">
        <x:v>Cancellation GBP</x:v>
      </x:c>
      <x:c r="D5" s="9" t="str">
        <x:v>Net GBP</x:v>
      </x:c>
      <x:c r="E5" s="9" t="str">
        <x:v>Sale invoices</x:v>
      </x:c>
      <x:c r="F5" s="9" t="str">
        <x:v>Net value share</x:v>
      </x:c>
      <x:c r="G5" s="1"/>
      <x:c r="H5" s="1"/>
      <x:c r="I5" s="1"/>
      <x:c r="J5" s="1"/>
      <x:c r="K5" s="1"/>
      <x:c r="L5" s="1"/>
    </x:row>
    <x:row r="6" ht="22" customHeight="1">
      <x:c r="A6" s="1" t="str">
        <x:v>United Kingdom</x:v>
      </x:c>
      <x:c r="B6" s="12" t="n">
        <x:v>9025222.08</x:v>
      </x:c>
      <x:c r="C6" s="12" t="n">
        <x:v>815291.6</x:v>
      </x:c>
      <x:c r="D6" s="10" t="n">
        <x:f>B6-C6</x:f>
        <x:v>8209930.48</x:v>
      </x:c>
      <x:c r="E6" s="13" t="n">
        <x:v>18019</x:v>
      </x:c>
      <x:c r="F6" s="19" t="n">
        <x:f>IF(SUM($D$6:$D$43)=0,"n.a.",D6/SUM($D$6:$D$43))</x:f>
        <x:v>0.8403314227641291</x:v>
      </x:c>
      <x:c r="G6" s="1"/>
      <x:c r="H6" s="1"/>
      <x:c r="I6" s="1"/>
      <x:c r="J6" s="1"/>
      <x:c r="K6" s="1"/>
      <x:c r="L6" s="1"/>
    </x:row>
    <x:row r="7" ht="22" customHeight="1">
      <x:c r="A7" s="1" t="str">
        <x:v>Netherlands</x:v>
      </x:c>
      <x:c r="B7" s="12" t="n">
        <x:v>285446.34</x:v>
      </x:c>
      <x:c r="C7" s="12" t="n">
        <x:v>784.8</x:v>
      </x:c>
      <x:c r="D7" s="10" t="n">
        <x:f>B7-C7</x:f>
        <x:v>284661.54000000004</x:v>
      </x:c>
      <x:c r="E7" s="13" t="n">
        <x:v>94</x:v>
      </x:c>
      <x:c r="F7" s="19" t="n">
        <x:f>IF(SUM($D$6:$D$43)=0,"n.a.",D7/SUM($D$6:$D$43))</x:f>
        <x:v>0.029136670218726145</x:v>
      </x:c>
      <x:c r="G7" s="1"/>
      <x:c r="H7" s="1"/>
      <x:c r="I7" s="1"/>
      <x:c r="J7" s="1"/>
      <x:c r="K7" s="1"/>
      <x:c r="L7" s="1"/>
    </x:row>
    <x:row r="8" ht="22" customHeight="1">
      <x:c r="A8" s="1" t="str">
        <x:v>EIRE</x:v>
      </x:c>
      <x:c r="B8" s="12" t="n">
        <x:v>283453.96</x:v>
      </x:c>
      <x:c r="C8" s="12" t="n">
        <x:v>20177.14</x:v>
      </x:c>
      <x:c r="D8" s="10" t="n">
        <x:f>B8-C8</x:f>
        <x:v>263276.82</x:v>
      </x:c>
      <x:c r="E8" s="13" t="n">
        <x:v>288</x:v>
      </x:c>
      <x:c r="F8" s="19" t="n">
        <x:f>IF(SUM($D$6:$D$43)=0,"n.a.",D8/SUM($D$6:$D$43))</x:f>
        <x:v>0.02694782681416999</x:v>
      </x:c>
      <x:c r="G8" s="1"/>
      <x:c r="H8" s="1"/>
      <x:c r="I8" s="1"/>
      <x:c r="J8" s="1"/>
      <x:c r="K8" s="1"/>
      <x:c r="L8" s="1"/>
    </x:row>
    <x:row r="9" ht="22" customHeight="1">
      <x:c r="A9" s="1" t="str">
        <x:v>Germany</x:v>
      </x:c>
      <x:c r="B9" s="12" t="n">
        <x:v>228867.14</x:v>
      </x:c>
      <x:c r="C9" s="12" t="n">
        <x:v>7168.93</x:v>
      </x:c>
      <x:c r="D9" s="10" t="n">
        <x:f>B9-C9</x:f>
        <x:v>221698.21000000002</x:v>
      </x:c>
      <x:c r="E9" s="13" t="n">
        <x:v>457</x:v>
      </x:c>
      <x:c r="F9" s="19" t="n">
        <x:f>IF(SUM($D$6:$D$43)=0,"n.a.",D9/SUM($D$6:$D$43))</x:f>
        <x:v>0.022692027988227333</x:v>
      </x:c>
      <x:c r="G9" s="1"/>
      <x:c r="H9" s="1"/>
      <x:c r="I9" s="1"/>
      <x:c r="J9" s="1"/>
      <x:c r="K9" s="1"/>
      <x:c r="L9" s="1"/>
    </x:row>
    <x:row r="10" ht="22" customHeight="1">
      <x:c r="A10" s="1" t="str">
        <x:v>France</x:v>
      </x:c>
      <x:c r="B10" s="12" t="n">
        <x:v>209715.11</x:v>
      </x:c>
      <x:c r="C10" s="12" t="n">
        <x:v>12311.21</x:v>
      </x:c>
      <x:c r="D10" s="10" t="n">
        <x:f>B10-C10</x:f>
        <x:v>197403.9</x:v>
      </x:c>
      <x:c r="E10" s="13" t="n">
        <x:v>392</x:v>
      </x:c>
      <x:c r="F10" s="19" t="n">
        <x:f>IF(SUM($D$6:$D$43)=0,"n.a.",D10/SUM($D$6:$D$43))</x:f>
        <x:v>0.020205372085707093</x:v>
      </x:c>
      <x:c r="G10" s="1"/>
      <x:c r="H10" s="1"/>
      <x:c r="I10" s="1"/>
      <x:c r="J10" s="1"/>
      <x:c r="K10" s="1"/>
      <x:c r="L10" s="1"/>
    </x:row>
    <x:row r="11" ht="22" customHeight="1">
      <x:c r="A11" s="1" t="str">
        <x:v>Australia</x:v>
      </x:c>
      <x:c r="B11" s="12" t="n">
        <x:v>138521.31</x:v>
      </x:c>
      <x:c r="C11" s="12" t="n">
        <x:v>1444.04</x:v>
      </x:c>
      <x:c r="D11" s="10" t="n">
        <x:f>B11-C11</x:f>
        <x:v>137077.27</x:v>
      </x:c>
      <x:c r="E11" s="13" t="n">
        <x:v>57</x:v>
      </x:c>
      <x:c r="F11" s="19" t="n">
        <x:f>IF(SUM($D$6:$D$43)=0,"n.a.",D11/SUM($D$6:$D$43))</x:f>
        <x:v>0.014030610564649099</x:v>
      </x:c>
      <x:c r="G11" s="1"/>
      <x:c r="H11" s="1"/>
      <x:c r="I11" s="1"/>
      <x:c r="J11" s="1"/>
      <x:c r="K11" s="1"/>
      <x:c r="L11" s="1"/>
    </x:row>
    <x:row r="12" ht="22" customHeight="1">
      <x:c r="A12" s="1" t="str">
        <x:v>Switzerland</x:v>
      </x:c>
      <x:c r="B12" s="12" t="n">
        <x:v>57089.9</x:v>
      </x:c>
      <x:c r="C12" s="12" t="n">
        <x:v>704.55</x:v>
      </x:c>
      <x:c r="D12" s="10" t="n">
        <x:f>B12-C12</x:f>
        <x:v>56385.35</x:v>
      </x:c>
      <x:c r="E12" s="13" t="n">
        <x:v>54</x:v>
      </x:c>
      <x:c r="F12" s="19" t="n">
        <x:f>IF(SUM($D$6:$D$43)=0,"n.a.",D12/SUM($D$6:$D$43))</x:f>
        <x:v>0.005771349891936403</x:v>
      </x:c>
      <x:c r="G12" s="1"/>
      <x:c r="H12" s="1"/>
      <x:c r="I12" s="1"/>
      <x:c r="J12" s="1"/>
      <x:c r="K12" s="1"/>
      <x:c r="L12" s="1"/>
    </x:row>
    <x:row r="13" ht="22" customHeight="1">
      <x:c r="A13" s="1" t="str">
        <x:v>Spain</x:v>
      </x:c>
      <x:c r="B13" s="12" t="n">
        <x:v>61577.11</x:v>
      </x:c>
      <x:c r="C13" s="12" t="n">
        <x:v>6802.53</x:v>
      </x:c>
      <x:c r="D13" s="10" t="n">
        <x:f>B13-C13</x:f>
        <x:v>54774.58</x:v>
      </x:c>
      <x:c r="E13" s="13" t="n">
        <x:v>90</x:v>
      </x:c>
      <x:c r="F13" s="19" t="n">
        <x:f>IF(SUM($D$6:$D$43)=0,"n.a.",D13/SUM($D$6:$D$43))</x:f>
        <x:v>0.005606478746054815</x:v>
      </x:c>
      <x:c r="G13" s="1"/>
      <x:c r="H13" s="1"/>
      <x:c r="I13" s="1"/>
      <x:c r="J13" s="1"/>
      <x:c r="K13" s="1"/>
      <x:c r="L13" s="1"/>
    </x:row>
    <x:row r="14" ht="22" customHeight="1">
      <x:c r="A14" s="1" t="str">
        <x:v>Belgium</x:v>
      </x:c>
      <x:c r="B14" s="12" t="n">
        <x:v>41196.34</x:v>
      </x:c>
      <x:c r="C14" s="12" t="n">
        <x:v>285.38</x:v>
      </x:c>
      <x:c r="D14" s="10" t="n">
        <x:f>B14-C14</x:f>
        <x:v>40910.96</x:v>
      </x:c>
      <x:c r="E14" s="13" t="n">
        <x:v>98</x:v>
      </x:c>
      <x:c r="F14" s="19" t="n">
        <x:f>IF(SUM($D$6:$D$43)=0,"n.a.",D14/SUM($D$6:$D$43))</x:f>
        <x:v>0.0041874611858401965</x:v>
      </x:c>
      <x:c r="G14" s="1"/>
      <x:c r="H14" s="1"/>
      <x:c r="I14" s="1"/>
      <x:c r="J14" s="1"/>
      <x:c r="K14" s="1"/>
      <x:c r="L14" s="1"/>
    </x:row>
    <x:row r="15" ht="22" customHeight="1">
      <x:c r="A15" s="1" t="str">
        <x:v>Sweden</x:v>
      </x:c>
      <x:c r="B15" s="12" t="n">
        <x:v>38378.33</x:v>
      </x:c>
      <x:c r="C15" s="12" t="n">
        <x:v>1782.42</x:v>
      </x:c>
      <x:c r="D15" s="10" t="n">
        <x:f>B15-C15</x:f>
        <x:v>36595.91</x:v>
      </x:c>
      <x:c r="E15" s="13" t="n">
        <x:v>36</x:v>
      </x:c>
      <x:c r="F15" s="19" t="n">
        <x:f>IF(SUM($D$6:$D$43)=0,"n.a.",D15/SUM($D$6:$D$43))</x:f>
        <x:v>0.0037457921467866097</x:v>
      </x:c>
      <x:c r="G15" s="1"/>
      <x:c r="H15" s="1"/>
      <x:c r="I15" s="1"/>
      <x:c r="J15" s="1"/>
      <x:c r="K15" s="1"/>
      <x:c r="L15" s="1"/>
    </x:row>
    <x:row r="16" ht="22" customHeight="1">
      <x:c r="A16" s="1" t="str">
        <x:v>Japan</x:v>
      </x:c>
      <x:c r="B16" s="12" t="n">
        <x:v>37416.37</x:v>
      </x:c>
      <x:c r="C16" s="12" t="n">
        <x:v>2075.75</x:v>
      </x:c>
      <x:c r="D16" s="10" t="n">
        <x:f>B16-C16</x:f>
        <x:v>35340.62</x:v>
      </x:c>
      <x:c r="E16" s="13" t="n">
        <x:v>19</x:v>
      </x:c>
      <x:c r="F16" s="19" t="n">
        <x:f>IF(SUM($D$6:$D$43)=0,"n.a.",D16/SUM($D$6:$D$43))</x:f>
        <x:v>0.003617306329001514</x:v>
      </x:c>
      <x:c r="G16" s="1"/>
      <x:c r="H16" s="1"/>
      <x:c r="I16" s="1"/>
      <x:c r="J16" s="1"/>
      <x:c r="K16" s="1"/>
      <x:c r="L16" s="1"/>
    </x:row>
    <x:row r="17" ht="22" customHeight="1">
      <x:c r="A17" s="1" t="str">
        <x:v>Norway</x:v>
      </x:c>
      <x:c r="B17" s="12" t="n">
        <x:v>36165.44</x:v>
      </x:c>
      <x:c r="C17" s="12" t="n">
        <x:v>1001.98</x:v>
      </x:c>
      <x:c r="D17" s="10" t="n">
        <x:f>B17-C17</x:f>
        <x:v>35163.46</x:v>
      </x:c>
      <x:c r="E17" s="13" t="n">
        <x:v>36</x:v>
      </x:c>
      <x:c r="F17" s="19" t="n">
        <x:f>IF(SUM($D$6:$D$43)=0,"n.a.",D17/SUM($D$6:$D$43))</x:f>
        <x:v>0.0035991730311350383</x:v>
      </x:c>
      <x:c r="G17" s="1"/>
      <x:c r="H17" s="1"/>
      <x:c r="I17" s="1"/>
      <x:c r="J17" s="1"/>
      <x:c r="K17" s="1"/>
      <x:c r="L17" s="1"/>
    </x:row>
    <x:row r="18" ht="22" customHeight="1">
      <x:c r="A18" s="1" t="str">
        <x:v>Portugal</x:v>
      </x:c>
      <x:c r="B18" s="12" t="n">
        <x:v>33747.1</x:v>
      </x:c>
      <x:c r="C18" s="12" t="n">
        <x:v>4380.08</x:v>
      </x:c>
      <x:c r="D18" s="10" t="n">
        <x:f>B18-C18</x:f>
        <x:v>29367.019999999997</x:v>
      </x:c>
      <x:c r="E18" s="13" t="n">
        <x:v>58</x:v>
      </x:c>
      <x:c r="F18" s="19" t="n">
        <x:f>IF(SUM($D$6:$D$43)=0,"n.a.",D18/SUM($D$6:$D$43))</x:f>
        <x:v>0.003005875598954235</x:v>
      </x:c>
      <x:c r="G18" s="1"/>
      <x:c r="H18" s="1"/>
      <x:c r="I18" s="1"/>
      <x:c r="J18" s="1"/>
      <x:c r="K18" s="1"/>
      <x:c r="L18" s="1"/>
    </x:row>
    <x:row r="19" ht="22" customHeight="1">
      <x:c r="A19" s="1" t="str">
        <x:v>Finland</x:v>
      </x:c>
      <x:c r="B19" s="12" t="n">
        <x:v>22546.08</x:v>
      </x:c>
      <x:c r="C19" s="12" t="n">
        <x:v>219.34</x:v>
      </x:c>
      <x:c r="D19" s="10" t="n">
        <x:f>B19-C19</x:f>
        <x:v>22326.74</x:v>
      </x:c>
      <x:c r="E19" s="13" t="n">
        <x:v>41</x:v>
      </x:c>
      <x:c r="F19" s="19" t="n">
        <x:f>IF(SUM($D$6:$D$43)=0,"n.a.",D19/SUM($D$6:$D$43))</x:f>
        <x:v>0.002285264319300885</x:v>
      </x:c>
      <x:c r="G19" s="1"/>
      <x:c r="H19" s="1"/>
      <x:c r="I19" s="1"/>
      <x:c r="J19" s="1"/>
      <x:c r="K19" s="1"/>
      <x:c r="L19" s="1"/>
    </x:row>
    <x:row r="20" ht="22" customHeight="1">
      <x:c r="A20" s="1" t="str">
        <x:v>Channel Islands</x:v>
      </x:c>
      <x:c r="B20" s="12" t="n">
        <x:v>20450.44</x:v>
      </x:c>
      <x:c r="C20" s="12" t="n">
        <x:v>364.15</x:v>
      </x:c>
      <x:c r="D20" s="10" t="n">
        <x:f>B20-C20</x:f>
        <x:v>20086.289999999997</x:v>
      </x:c>
      <x:c r="E20" s="13" t="n">
        <x:v>26</x:v>
      </x:c>
      <x:c r="F20" s="19" t="n">
        <x:f>IF(SUM($D$6:$D$43)=0,"n.a.",D20/SUM($D$6:$D$43))</x:f>
        <x:v>0.0020559419711131213</x:v>
      </x:c>
      <x:c r="G20" s="1"/>
      <x:c r="H20" s="1"/>
      <x:c r="I20" s="1"/>
      <x:c r="J20" s="1"/>
      <x:c r="K20" s="1"/>
      <x:c r="L20" s="1"/>
    </x:row>
    <x:row r="21" ht="22" customHeight="1">
      <x:c r="A21" s="1" t="str">
        <x:v>Denmark</x:v>
      </x:c>
      <x:c r="B21" s="12" t="n">
        <x:v>18955.34</x:v>
      </x:c>
      <x:c r="C21" s="12" t="n">
        <x:v>187.2</x:v>
      </x:c>
      <x:c r="D21" s="10" t="n">
        <x:f>B21-C21</x:f>
        <x:v>18768.14</x:v>
      </x:c>
      <x:c r="E21" s="13" t="n">
        <x:v>18</x:v>
      </x:c>
      <x:c r="F21" s="19" t="n">
        <x:f>IF(SUM($D$6:$D$43)=0,"n.a.",D21/SUM($D$6:$D$43))</x:f>
        <x:v>0.0019210220874898761</x:v>
      </x:c>
      <x:c r="G21" s="1"/>
      <x:c r="H21" s="1"/>
      <x:c r="I21" s="1"/>
      <x:c r="J21" s="1"/>
      <x:c r="K21" s="1"/>
      <x:c r="L21" s="1"/>
    </x:row>
    <x:row r="22" ht="22" customHeight="1">
      <x:c r="A22" s="1" t="str">
        <x:v>Italy</x:v>
      </x:c>
      <x:c r="B22" s="12" t="n">
        <x:v>17483.24</x:v>
      </x:c>
      <x:c r="C22" s="12" t="n">
        <x:v>592.73</x:v>
      </x:c>
      <x:c r="D22" s="10" t="n">
        <x:f>B22-C22</x:f>
        <x:v>16890.510000000002</x:v>
      </x:c>
      <x:c r="E22" s="13" t="n">
        <x:v>38</x:v>
      </x:c>
      <x:c r="F22" s="19" t="n">
        <x:f>IF(SUM($D$6:$D$43)=0,"n.a.",D22/SUM($D$6:$D$43))</x:f>
        <x:v>0.001728836356664466</x:v>
      </x:c>
      <x:c r="G22" s="1"/>
      <x:c r="H22" s="1"/>
      <x:c r="I22" s="1"/>
      <x:c r="J22" s="1"/>
      <x:c r="K22" s="1"/>
      <x:c r="L22" s="1"/>
    </x:row>
    <x:row r="23" ht="22" customHeight="1">
      <x:c r="A23" s="1" t="str">
        <x:v>Cyprus</x:v>
      </x:c>
      <x:c r="B23" s="12" t="n">
        <x:v>13590.38</x:v>
      </x:c>
      <x:c r="C23" s="12" t="n">
        <x:v>644.09</x:v>
      </x:c>
      <x:c r="D23" s="10" t="n">
        <x:f>B23-C23</x:f>
        <x:v>12946.289999999999</x:v>
      </x:c>
      <x:c r="E23" s="13" t="n">
        <x:v>16</x:v>
      </x:c>
      <x:c r="F23" s="19" t="n">
        <x:f>IF(SUM($D$6:$D$43)=0,"n.a.",D23/SUM($D$6:$D$43))</x:f>
        <x:v>0.001325123802414587</x:v>
      </x:c>
      <x:c r="G23" s="1"/>
      <x:c r="H23" s="1"/>
      <x:c r="I23" s="1"/>
      <x:c r="J23" s="1"/>
      <x:c r="K23" s="1"/>
      <x:c r="L23" s="1"/>
    </x:row>
    <x:row r="24" ht="22" customHeight="1">
      <x:c r="A24" s="1" t="str">
        <x:v>Austria</x:v>
      </x:c>
      <x:c r="B24" s="12" t="n">
        <x:v>10198.68</x:v>
      </x:c>
      <x:c r="C24" s="12" t="n">
        <x:v>44.36</x:v>
      </x:c>
      <x:c r="D24" s="10" t="n">
        <x:f>B24-C24</x:f>
        <x:v>10154.32</x:v>
      </x:c>
      <x:c r="E24" s="13" t="n">
        <x:v>17</x:v>
      </x:c>
      <x:c r="F24" s="19" t="n">
        <x:f>IF(SUM($D$6:$D$43)=0,"n.a.",D24/SUM($D$6:$D$43))</x:f>
        <x:v>0.0010393503566917231</x:v>
      </x:c>
      <x:c r="G24" s="1"/>
      <x:c r="H24" s="1"/>
      <x:c r="I24" s="1"/>
      <x:c r="J24" s="1"/>
      <x:c r="K24" s="1"/>
      <x:c r="L24" s="1"/>
    </x:row>
    <x:row r="25" ht="22" customHeight="1">
      <x:c r="A25" s="1" t="str">
        <x:v>Hong Kong</x:v>
      </x:c>
      <x:c r="B25" s="12" t="n">
        <x:v>15691.8</x:v>
      </x:c>
      <x:c r="C25" s="12" t="n">
        <x:v>5574.76</x:v>
      </x:c>
      <x:c r="D25" s="10" t="n">
        <x:f>B25-C25</x:f>
        <x:v>10117.039999999999</x:v>
      </x:c>
      <x:c r="E25" s="13" t="n">
        <x:v>11</x:v>
      </x:c>
      <x:c r="F25" s="19" t="n">
        <x:f>IF(SUM($D$6:$D$43)=0,"n.a.",D25/SUM($D$6:$D$43))</x:f>
        <x:v>0.0010355345441806472</x:v>
      </x:c>
      <x:c r="G25" s="1"/>
      <x:c r="H25" s="1"/>
      <x:c r="I25" s="1"/>
      <x:c r="J25" s="1"/>
      <x:c r="K25" s="1"/>
      <x:c r="L25" s="1"/>
    </x:row>
    <x:row r="26" ht="22" customHeight="1">
      <x:c r="A26" s="1" t="str">
        <x:v>Singapore</x:v>
      </x:c>
      <x:c r="B26" s="12" t="n">
        <x:v>21279.29</x:v>
      </x:c>
      <x:c r="C26" s="12" t="n">
        <x:v>12158.9</x:v>
      </x:c>
      <x:c r="D26" s="10" t="n">
        <x:f>B26-C26</x:f>
        <x:v>9120.390000000001</x:v>
      </x:c>
      <x:c r="E26" s="13" t="n">
        <x:v>7</x:v>
      </x:c>
      <x:c r="F26" s="19" t="n">
        <x:f>IF(SUM($D$6:$D$43)=0,"n.a.",D26/SUM($D$6:$D$43))</x:f>
        <x:v>0.0009335219492459984</x:v>
      </x:c>
      <x:c r="G26" s="1"/>
      <x:c r="H26" s="1"/>
      <x:c r="I26" s="1"/>
      <x:c r="J26" s="1"/>
      <x:c r="K26" s="1"/>
      <x:c r="L26" s="1"/>
    </x:row>
    <x:row r="27" ht="22" customHeight="1">
      <x:c r="A27" s="1" t="str">
        <x:v>Israel</x:v>
      </x:c>
      <x:c r="B27" s="12" t="n">
        <x:v>8135.26</x:v>
      </x:c>
      <x:c r="C27" s="12" t="n">
        <x:v>227.44</x:v>
      </x:c>
      <x:c r="D27" s="10" t="n">
        <x:f>B27-C27</x:f>
        <x:v>7907.820000000001</x:v>
      </x:c>
      <x:c r="E27" s="13" t="n">
        <x:v>8</x:v>
      </x:c>
      <x:c r="F27" s="19" t="n">
        <x:f>IF(SUM($D$6:$D$43)=0,"n.a.",D27/SUM($D$6:$D$43))</x:f>
        <x:v>0.0008094087578147964</x:v>
      </x:c>
      <x:c r="G27" s="1"/>
      <x:c r="H27" s="1"/>
      <x:c r="I27" s="1"/>
      <x:c r="J27" s="1"/>
      <x:c r="K27" s="1"/>
      <x:c r="L27" s="1"/>
    </x:row>
    <x:row r="28" ht="22" customHeight="1">
      <x:c r="A28" s="1" t="str">
        <x:v>Poland</x:v>
      </x:c>
      <x:c r="B28" s="12" t="n">
        <x:v>7334.65</x:v>
      </x:c>
      <x:c r="C28" s="12" t="n">
        <x:v>121.51</x:v>
      </x:c>
      <x:c r="D28" s="10" t="n">
        <x:f>B28-C28</x:f>
        <x:v>7213.139999999999</x:v>
      </x:c>
      <x:c r="E28" s="13" t="n">
        <x:v>19</x:v>
      </x:c>
      <x:c r="F28" s="19" t="n">
        <x:f>IF(SUM($D$6:$D$43)=0,"n.a.",D28/SUM($D$6:$D$43))</x:f>
        <x:v>0.000738304448930833</x:v>
      </x:c>
      <x:c r="G28" s="1"/>
      <x:c r="H28" s="1"/>
      <x:c r="I28" s="1"/>
      <x:c r="J28" s="1"/>
      <x:c r="K28" s="1"/>
      <x:c r="L28" s="1"/>
    </x:row>
    <x:row r="29" ht="22" customHeight="1">
      <x:c r="A29" s="1" t="str">
        <x:v>Unspecified</x:v>
      </x:c>
      <x:c r="B29" s="12" t="n">
        <x:v>4749.79</x:v>
      </x:c>
      <x:c r="C29" s="12" t="n">
        <x:v>0</x:v>
      </x:c>
      <x:c r="D29" s="10" t="n">
        <x:f>B29-C29</x:f>
        <x:v>4749.79</x:v>
      </x:c>
      <x:c r="E29" s="13" t="n">
        <x:v>13</x:v>
      </x:c>
      <x:c r="F29" s="19" t="n">
        <x:f>IF(SUM($D$6:$D$43)=0,"n.a.",D29/SUM($D$6:$D$43))</x:f>
        <x:v>0.00048616706295554797</x:v>
      </x:c>
      <x:c r="G29" s="1"/>
      <x:c r="H29" s="1"/>
      <x:c r="I29" s="1"/>
      <x:c r="J29" s="1"/>
      <x:c r="K29" s="1"/>
      <x:c r="L29" s="1"/>
    </x:row>
    <x:row r="30" ht="22" customHeight="1">
      <x:c r="A30" s="1" t="str">
        <x:v>Greece</x:v>
      </x:c>
      <x:c r="B30" s="12" t="n">
        <x:v>4760.52</x:v>
      </x:c>
      <x:c r="C30" s="12" t="n">
        <x:v>50</x:v>
      </x:c>
      <x:c r="D30" s="10" t="n">
        <x:f>B30-C30</x:f>
        <x:v>4710.52</x:v>
      </x:c>
      <x:c r="E30" s="13" t="n">
        <x:v>5</x:v>
      </x:c>
      <x:c r="F30" s="19" t="n">
        <x:f>IF(SUM($D$6:$D$43)=0,"n.a.",D30/SUM($D$6:$D$43))</x:f>
        <x:v>0.0004821475630277061</x:v>
      </x:c>
      <x:c r="G30" s="1"/>
      <x:c r="H30" s="1"/>
      <x:c r="I30" s="1"/>
      <x:c r="J30" s="1"/>
      <x:c r="K30" s="1"/>
      <x:c r="L30" s="1"/>
    </x:row>
    <x:row r="31" ht="22" customHeight="1">
      <x:c r="A31" s="1" t="str">
        <x:v>Iceland</x:v>
      </x:c>
      <x:c r="B31" s="12" t="n">
        <x:v>4310</x:v>
      </x:c>
      <x:c r="C31" s="12" t="n">
        <x:v>0</x:v>
      </x:c>
      <x:c r="D31" s="10" t="n">
        <x:f>B31-C31</x:f>
        <x:v>4310</x:v>
      </x:c>
      <x:c r="E31" s="13" t="n">
        <x:v>7</x:v>
      </x:c>
      <x:c r="F31" s="19" t="n">
        <x:f>IF(SUM($D$6:$D$43)=0,"n.a.",D31/SUM($D$6:$D$43))</x:f>
        <x:v>0.00044115214385023586</x:v>
      </x:c>
      <x:c r="G31" s="1"/>
      <x:c r="H31" s="1"/>
      <x:c r="I31" s="1"/>
      <x:c r="J31" s="1"/>
      <x:c r="K31" s="1"/>
      <x:c r="L31" s="1"/>
    </x:row>
    <x:row r="32" ht="22" customHeight="1">
      <x:c r="A32" s="1" t="str">
        <x:v>Canada</x:v>
      </x:c>
      <x:c r="B32" s="12" t="n">
        <x:v>3666.38</x:v>
      </x:c>
      <x:c r="C32" s="12" t="n">
        <x:v>0</x:v>
      </x:c>
      <x:c r="D32" s="10" t="n">
        <x:f>B32-C32</x:f>
        <x:v>3666.38</x:v>
      </x:c>
      <x:c r="E32" s="13" t="n">
        <x:v>6</x:v>
      </x:c>
      <x:c r="F32" s="19" t="n">
        <x:f>IF(SUM($D$6:$D$43)=0,"n.a.",D32/SUM($D$6:$D$43))</x:f>
        <x:v>0.0003752741060718394</x:v>
      </x:c>
      <x:c r="G32" s="1"/>
      <x:c r="H32" s="1"/>
      <x:c r="I32" s="1"/>
      <x:c r="J32" s="1"/>
      <x:c r="K32" s="1"/>
      <x:c r="L32" s="1"/>
    </x:row>
    <x:row r="33" ht="22" customHeight="1">
      <x:c r="A33" s="1" t="str">
        <x:v>Malta</x:v>
      </x:c>
      <x:c r="B33" s="12" t="n">
        <x:v>2725.59</x:v>
      </x:c>
      <x:c r="C33" s="12" t="n">
        <x:v>220.12</x:v>
      </x:c>
      <x:c r="D33" s="10" t="n">
        <x:f>B33-C33</x:f>
        <x:v>2505.4700000000003</x:v>
      </x:c>
      <x:c r="E33" s="13" t="n">
        <x:v>5</x:v>
      </x:c>
      <x:c r="F33" s="19" t="n">
        <x:f>IF(SUM($D$6:$D$43)=0,"n.a.",D33/SUM($D$6:$D$43))</x:f>
        <x:v>0.00025644859903769157</x:v>
      </x:c>
      <x:c r="G33" s="1"/>
      <x:c r="H33" s="1"/>
      <x:c r="I33" s="1"/>
      <x:c r="J33" s="1"/>
      <x:c r="K33" s="1"/>
      <x:c r="L33" s="1"/>
    </x:row>
    <x:row r="34" ht="22" customHeight="1">
      <x:c r="A34" s="1" t="str">
        <x:v>United Arab Emirates</x:v>
      </x:c>
      <x:c r="B34" s="12" t="n">
        <x:v>1902.28</x:v>
      </x:c>
      <x:c r="C34" s="12" t="n">
        <x:v>0</x:v>
      </x:c>
      <x:c r="D34" s="10" t="n">
        <x:f>B34-C34</x:f>
        <x:v>1902.28</x:v>
      </x:c>
      <x:c r="E34" s="13" t="n">
        <x:v>3</x:v>
      </x:c>
      <x:c r="F34" s="19" t="n">
        <x:f>IF(SUM($D$6:$D$43)=0,"n.a.",D34/SUM($D$6:$D$43))</x:f>
        <x:v>0.00019470879355067903</x:v>
      </x:c>
      <x:c r="G34" s="1"/>
      <x:c r="H34" s="1"/>
      <x:c r="I34" s="1"/>
      <x:c r="J34" s="1"/>
      <x:c r="K34" s="1"/>
      <x:c r="L34" s="1"/>
    </x:row>
    <x:row r="35" ht="22" customHeight="1">
      <x:c r="A35" s="1" t="str">
        <x:v>USA</x:v>
      </x:c>
      <x:c r="B35" s="12" t="n">
        <x:v>3580.39</x:v>
      </x:c>
      <x:c r="C35" s="12" t="n">
        <x:v>1849.47</x:v>
      </x:c>
      <x:c r="D35" s="10" t="n">
        <x:f>B35-C35</x:f>
        <x:v>1730.9199999999998</x:v>
      </x:c>
      <x:c r="E35" s="13" t="n">
        <x:v>5</x:v>
      </x:c>
      <x:c r="F35" s="19" t="n">
        <x:f>IF(SUM($D$6:$D$43)=0,"n.a.",D35/SUM($D$6:$D$43))</x:f>
        <x:v>0.0001771691575019142</x:v>
      </x:c>
      <x:c r="G35" s="1"/>
      <x:c r="H35" s="1"/>
      <x:c r="I35" s="1"/>
      <x:c r="J35" s="1"/>
      <x:c r="K35" s="1"/>
      <x:c r="L35" s="1"/>
    </x:row>
    <x:row r="36" ht="22" customHeight="1">
      <x:c r="A36" s="1" t="str">
        <x:v>Lebanon</x:v>
      </x:c>
      <x:c r="B36" s="12" t="n">
        <x:v>1693.88</x:v>
      </x:c>
      <x:c r="C36" s="12" t="n">
        <x:v>0</x:v>
      </x:c>
      <x:c r="D36" s="10" t="n">
        <x:f>B36-C36</x:f>
        <x:v>1693.88</x:v>
      </x:c>
      <x:c r="E36" s="13" t="n">
        <x:v>1</x:v>
      </x:c>
      <x:c r="F36" s="19" t="n">
        <x:f>IF(SUM($D$6:$D$43)=0,"n.a.",D36/SUM($D$6:$D$43))</x:f>
        <x:v>0.0001733779103074333</x:v>
      </x:c>
      <x:c r="G36" s="1"/>
      <x:c r="H36" s="1"/>
      <x:c r="I36" s="1"/>
      <x:c r="J36" s="1"/>
      <x:c r="K36" s="1"/>
      <x:c r="L36" s="1"/>
    </x:row>
    <x:row r="37" ht="22" customHeight="1">
      <x:c r="A37" s="1" t="str">
        <x:v>Lithuania</x:v>
      </x:c>
      <x:c r="B37" s="12" t="n">
        <x:v>1661.06</x:v>
      </x:c>
      <x:c r="C37" s="12" t="n">
        <x:v>0</x:v>
      </x:c>
      <x:c r="D37" s="10" t="n">
        <x:f>B37-C37</x:f>
        <x:v>1661.06</x:v>
      </x:c>
      <x:c r="E37" s="13" t="n">
        <x:v>4</x:v>
      </x:c>
      <x:c r="F37" s="19" t="n">
        <x:f>IF(SUM($D$6:$D$43)=0,"n.a.",D37/SUM($D$6:$D$43))</x:f>
        <x:v>0.00017001860326307954</x:v>
      </x:c>
      <x:c r="G37" s="1"/>
      <x:c r="H37" s="1"/>
      <x:c r="I37" s="1"/>
      <x:c r="J37" s="1"/>
      <x:c r="K37" s="1"/>
      <x:c r="L37" s="1"/>
    </x:row>
    <x:row r="38" ht="22" customHeight="1">
      <x:c r="A38" s="1" t="str">
        <x:v>European Community</x:v>
      </x:c>
      <x:c r="B38" s="12" t="n">
        <x:v>1300.25</x:v>
      </x:c>
      <x:c r="C38" s="12" t="n">
        <x:v>8.5</x:v>
      </x:c>
      <x:c r="D38" s="10" t="n">
        <x:f>B38-C38</x:f>
        <x:v>1291.75</x:v>
      </x:c>
      <x:c r="E38" s="13" t="n">
        <x:v>4</x:v>
      </x:c>
      <x:c r="F38" s="19" t="n">
        <x:f>IF(SUM($D$6:$D$43)=0,"n.a.",D38/SUM($D$6:$D$43))</x:f>
        <x:v>0.0001322176987978056</x:v>
      </x:c>
      <x:c r="G38" s="1"/>
      <x:c r="H38" s="1"/>
      <x:c r="I38" s="1"/>
      <x:c r="J38" s="1"/>
      <x:c r="K38" s="1"/>
      <x:c r="L38" s="1"/>
    </x:row>
    <x:row r="39" ht="22" customHeight="1">
      <x:c r="A39" s="1" t="str">
        <x:v>Brazil</x:v>
      </x:c>
      <x:c r="B39" s="12" t="n">
        <x:v>1143.6</x:v>
      </x:c>
      <x:c r="C39" s="12" t="n">
        <x:v>0</x:v>
      </x:c>
      <x:c r="D39" s="10" t="n">
        <x:f>B39-C39</x:f>
        <x:v>1143.6</x:v>
      </x:c>
      <x:c r="E39" s="13" t="n">
        <x:v>1</x:v>
      </x:c>
      <x:c r="F39" s="19" t="n">
        <x:f>IF(SUM($D$6:$D$43)=0,"n.a.",D39/SUM($D$6:$D$43))</x:f>
        <x:v>0.00011705373357474008</x:v>
      </x:c>
      <x:c r="G39" s="1"/>
      <x:c r="H39" s="1"/>
      <x:c r="I39" s="1"/>
      <x:c r="J39" s="1"/>
      <x:c r="K39" s="1"/>
      <x:c r="L39" s="1"/>
    </x:row>
    <x:row r="40" ht="22" customHeight="1">
      <x:c r="A40" s="1" t="str">
        <x:v>RSA</x:v>
      </x:c>
      <x:c r="B40" s="12" t="n">
        <x:v>1002.31</x:v>
      </x:c>
      <x:c r="C40" s="12" t="n">
        <x:v>0</x:v>
      </x:c>
      <x:c r="D40" s="10" t="n">
        <x:f>B40-C40</x:f>
        <x:v>1002.31</x:v>
      </x:c>
      <x:c r="E40" s="13" t="n">
        <x:v>1</x:v>
      </x:c>
      <x:c r="F40" s="19" t="n">
        <x:f>IF(SUM($D$6:$D$43)=0,"n.a.",D40/SUM($D$6:$D$43))</x:f>
        <x:v>0.00010259192698434568</x:v>
      </x:c>
      <x:c r="G40" s="1"/>
      <x:c r="H40" s="1"/>
      <x:c r="I40" s="1"/>
      <x:c r="J40" s="1"/>
      <x:c r="K40" s="1"/>
      <x:c r="L40" s="1"/>
    </x:row>
    <x:row r="41" ht="22" customHeight="1">
      <x:c r="A41" s="1" t="str">
        <x:v>Czech Republic</x:v>
      </x:c>
      <x:c r="B41" s="12" t="n">
        <x:v>826.74</x:v>
      </x:c>
      <x:c r="C41" s="12" t="n">
        <x:v>119.02</x:v>
      </x:c>
      <x:c r="D41" s="10" t="n">
        <x:f>B41-C41</x:f>
        <x:v>707.72</x:v>
      </x:c>
      <x:c r="E41" s="13" t="n">
        <x:v>2</x:v>
      </x:c>
      <x:c r="F41" s="19" t="n">
        <x:f>IF(SUM($D$6:$D$43)=0,"n.a.",D41/SUM($D$6:$D$43))</x:f>
        <x:v>0.00007243902441895335</x:v>
      </x:c>
      <x:c r="G41" s="1"/>
      <x:c r="H41" s="1"/>
      <x:c r="I41" s="1"/>
      <x:c r="J41" s="1"/>
      <x:c r="K41" s="1"/>
      <x:c r="L41" s="1"/>
    </x:row>
    <x:row r="42" ht="22" customHeight="1">
      <x:c r="A42" s="1" t="str">
        <x:v>Bahrain</x:v>
      </x:c>
      <x:c r="B42" s="12" t="n">
        <x:v>754.14</x:v>
      </x:c>
      <x:c r="C42" s="12" t="n">
        <x:v>205.74</x:v>
      </x:c>
      <x:c r="D42" s="10" t="n">
        <x:f>B42-C42</x:f>
        <x:v>548.4</x:v>
      </x:c>
      <x:c r="E42" s="13" t="n">
        <x:v>3</x:v>
      </x:c>
      <x:c r="F42" s="19" t="n">
        <x:f>IF(SUM($D$6:$D$43)=0,"n.a.",D42/SUM($D$6:$D$43))</x:f>
        <x:v>0.000056131748419366434</x:v>
      </x:c>
      <x:c r="G42" s="1"/>
      <x:c r="H42" s="1"/>
      <x:c r="I42" s="1"/>
      <x:c r="J42" s="1"/>
      <x:c r="K42" s="1"/>
      <x:c r="L42" s="1"/>
    </x:row>
    <x:row r="43" ht="22" customHeight="1">
      <x:c r="A43" s="1" t="str">
        <x:v>Saudi Arabia</x:v>
      </x:c>
      <x:c r="B43" s="12" t="n">
        <x:v>145.92</x:v>
      </x:c>
      <x:c r="C43" s="12" t="n">
        <x:v>14.75</x:v>
      </x:c>
      <x:c r="D43" s="10" t="n">
        <x:f>B43-C43</x:f>
        <x:v>131.17</x:v>
      </x:c>
      <x:c r="E43" s="13" t="n">
        <x:v>1</x:v>
      </x:c>
      <x:c r="F43" s="19" t="n">
        <x:f>IF(SUM($D$6:$D$43)=0,"n.a.",D43/SUM($D$6:$D$43))</x:f>
        <x:v>0.00001342596907397574</x:v>
      </x:c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pageMargins left="0.7" right="0.7" top="0.75" bottom="0.75" header="0.3" footer="0.3"/>
  <x:tableParts count="1">
    <x:tablePart xmlns:r="http://schemas.openxmlformats.org/officeDocument/2006/relationships" r:id="Rec7efa31f8c14497"/>
  </x:tableParts>
</x:worksheet>
</file>